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385" windowHeight="8520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OFFSET(Atividades!$B$14,0,0,1,COUNT(Atividades!$B$14:$G$14))</definedName>
  </definedNames>
  <calcPr calcId="144525"/>
</workbook>
</file>

<file path=xl/sharedStrings.xml><?xml version="1.0" encoding="utf-8"?>
<sst xmlns="http://schemas.openxmlformats.org/spreadsheetml/2006/main" count="15">
  <si>
    <t>Total de horas</t>
  </si>
  <si>
    <t>Elaborar diagrama de caso de uso</t>
  </si>
  <si>
    <t>Especificação de caso de uso UC001</t>
  </si>
  <si>
    <t>Especificação de caso de uso UC002</t>
  </si>
  <si>
    <t>Especificação de caso de uso UC003</t>
  </si>
  <si>
    <t>Especificação de caso de uso UC004</t>
  </si>
  <si>
    <t>Definição dos protótipos UC001</t>
  </si>
  <si>
    <t>Definição dos protótipos UC002</t>
  </si>
  <si>
    <t>Definição dos protótipos UC003</t>
  </si>
  <si>
    <t>Definição dos protótipos UC004</t>
  </si>
  <si>
    <t>Verificação de diagrama de caso de uso</t>
  </si>
  <si>
    <t>Validação de diagrama de caso de uso</t>
  </si>
  <si>
    <t>Vericação das especificações desenvolvidas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</si>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</sst>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42" formatCode="_-&quot;£&quot;* #,##0_-;\-&quot;£&quot;* #,##0_-;_-&quot;£&quot;* &quot;-&quot;_-;_-@_-"/>
    <numFmt numFmtId="43" formatCode="_-* #,##0.00_-;\-* #,##0.00_-;_-* &quot;-&quot;??_-;_-@_-"/>
    <numFmt numFmtId="41" formatCode="_-* #,##0_-;\-* #,##0_-;_-* &quot;-&quot;_-;_-@_-"/>
  </numFmts>
  <fonts count="23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Times New Roman"/>
      <charset val="134"/>
    </font>
    <font>
      <u/>
      <sz val="11"/>
      <color rgb="FF800080"/>
      <name val="Calibri"/>
      <charset val="0"/>
      <scheme val="minor"/>
    </font>
    <font>
      <sz val="10"/>
      <color theme="1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12" applyNumberFormat="0" applyFill="0" applyAlignment="0" applyProtection="0">
      <alignment vertical="center"/>
    </xf>
    <xf numFmtId="0" fontId="8" fillId="5" borderId="10" applyNumberFormat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4" fillId="2" borderId="9" applyNumberFormat="0" applyFon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8" borderId="15" applyNumberFormat="0" applyAlignment="0" applyProtection="0">
      <alignment vertical="center"/>
    </xf>
    <xf numFmtId="0" fontId="20" fillId="19" borderId="16" applyNumberFormat="0" applyAlignment="0" applyProtection="0">
      <alignment vertical="center"/>
    </xf>
    <xf numFmtId="0" fontId="21" fillId="19" borderId="15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</cellStyleXfs>
  <cellXfs count="12">
    <xf numFmtId="0" fontId="0" fillId="0" borderId="0" xfId="0"/>
    <xf numFmtId="0" fontId="1" fillId="0" borderId="1" xfId="0" applyFont="1" applyBorder="1" applyAlignment="1">
      <alignment horizontal="center"/>
    </xf>
    <xf numFmtId="58" fontId="2" fillId="0" borderId="0" xfId="0" applyNumberFormat="1" applyFont="1" applyAlignment="1">
      <alignment horizontal="center"/>
    </xf>
    <xf numFmtId="58" fontId="2" fillId="0" borderId="0" xfId="0" applyNumberFormat="1" applyFont="1"/>
    <xf numFmtId="0" fontId="1" fillId="0" borderId="2" xfId="0" applyFont="1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/>
    <xf numFmtId="0" fontId="0" fillId="0" borderId="8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Restante</c:f>
              <c:numCache>
                <c:formatCode>General</c:formatCode>
                <c:ptCount val="6"/>
                <c:pt idx="0">
                  <c:v>24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Atividades!$B$15:$G$15</c:f>
              <c:numCache>
                <c:formatCode>General</c:formatCode>
                <c:ptCount val="6"/>
                <c:pt idx="0">
                  <c:v>24</c:v>
                </c:pt>
                <c:pt idx="1">
                  <c:v>19.2</c:v>
                </c:pt>
                <c:pt idx="2">
                  <c:v>14.4</c:v>
                </c:pt>
                <c:pt idx="3">
                  <c:v>9.6</c:v>
                </c:pt>
                <c:pt idx="4">
                  <c:v>4.8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0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936"/>
        <c:crosses val="autoZero"/>
        <c:auto val="1"/>
        <c:lblAlgn val="ctr"/>
        <c:lblOffset val="100"/>
        <c:tickMarkSkip val="1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horzOverflow="overflow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pt-BR"/>
      </a:pPr>
    </a:p>
  </c:txPr>
  <c:printSettings>
    <c:headerFooter/>
    <c:pageMargins r="0.7" b="0.75" l="0.7" footer="0.3" header="0.3" t="0.7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Restante</c:f>
              <c:numCache>
                <c:formatCode>General</c:formatCode>
                <c:ptCount val="6"/>
                <c:pt idx="0">
                  <c:v>24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Atividades!$B$15:$G$15</c:f>
              <c:numCache>
                <c:formatCode>General</c:formatCode>
                <c:ptCount val="6"/>
                <c:pt idx="0">
                  <c:v>24</c:v>
                </c:pt>
                <c:pt idx="1">
                  <c:v>19.2</c:v>
                </c:pt>
                <c:pt idx="2">
                  <c:v>14.4</c:v>
                </c:pt>
                <c:pt idx="3">
                  <c:v>9.6</c:v>
                </c:pt>
                <c:pt idx="4">
                  <c:v>4.8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noFill/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936"/>
        <c:crosses val="autoZero"/>
        <c:auto val="1"/>
        <c:lblAlgn val="ctr"/>
        <c:lblOffset val="100"/>
        <c:tickMarkSkip val="1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horzOverflow="overflow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pt-BR"/>
      </a:pPr>
    </a:p>
  </c:txPr>
  <c:printSettings>
    <c:headerFooter/>
    <c:pageMargins r="0.7" b="0.75" l="0.7" footer="0.3" header="0.3" t="0.7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Restante</c:f>
              <c:numCache>
                <c:formatCode>General</c:formatCode>
                <c:ptCount val="6"/>
                <c:pt idx="0">
                  <c:v>24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Total de horas</c:v>
                </c:pt>
                <c:pt idx="1" c:formatCode="dd/mm/yyyy">
                  <c:v>28/09/2017</c:v>
                </c:pt>
                <c:pt idx="2" c:formatCode="dd/mm/yyyy">
                  <c:v>30/09/2017</c:v>
                </c:pt>
                <c:pt idx="3" c:formatCode="dd/mm/yyyy">
                  <c:v>01/10/2017</c:v>
                </c:pt>
                <c:pt idx="4" c:formatCode="dd/mm/yyyy">
                  <c:v>02/10/2017</c:v>
                </c:pt>
                <c:pt idx="5" c:formatCode="dd/mm/yyyy">
                  <c:v>03/10/2017</c:v>
                </c:pt>
              </c:strCache>
            </c:strRef>
          </c:cat>
          <c:val>
            <c:numRef>
              <c:f>Atividades!$B$15:$G$15</c:f>
              <c:numCache>
                <c:formatCode>General</c:formatCode>
                <c:ptCount val="6"/>
                <c:pt idx="0">
                  <c:v>24</c:v>
                </c:pt>
                <c:pt idx="1">
                  <c:v>19.2</c:v>
                </c:pt>
                <c:pt idx="2">
                  <c:v>14.4</c:v>
                </c:pt>
                <c:pt idx="3">
                  <c:v>9.6</c:v>
                </c:pt>
                <c:pt idx="4">
                  <c:v>4.8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noFill/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936"/>
        <c:crosses val="autoZero"/>
        <c:auto val="1"/>
        <c:lblAlgn val="ctr"/>
        <c:lblOffset val="100"/>
        <c:tickMarkSkip val="1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horzOverflow="overflow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pt-BR"/>
      </a:pPr>
    </a:p>
  </c:txPr>
  <c:printSettings>
    <c:headerFooter/>
    <c:pageMargins r="0.7" b="0.75" l="0.7" footer="0.3" header="0.3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76200</xdr:colOff>
      <xdr:row>0</xdr:row>
      <xdr:rowOff>9525</xdr:rowOff>
    </xdr:from>
    <xdr:to>
      <xdr:col>13</xdr:col>
      <xdr:colOff>419099</xdr:colOff>
      <xdr:row>15</xdr:row>
      <xdr:rowOff>47625</xdr:rowOff>
    </xdr:to>
    <xdr:graphicFrame>
      <xdr:nvGraphicFramePr>
        <xdr:cNvPr id="3" name="Gráfico 2"/>
        <xdr:cNvGraphicFramePr/>
      </xdr:nvGraphicFramePr>
      <xdr:xfrm>
        <a:off x="7515225" y="9525"/>
        <a:ext cx="3942715" cy="289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191500" cy="5943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191500" cy="5943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17"/>
  <sheetViews>
    <sheetView showGridLines="0" tabSelected="1" workbookViewId="0">
      <selection activeCell="B9" sqref="B9"/>
    </sheetView>
  </sheetViews>
  <sheetFormatPr defaultColWidth="9" defaultRowHeight="15" outlineLevelCol="6"/>
  <cols>
    <col min="1" max="1" width="43.7142857142857" customWidth="1"/>
    <col min="2" max="2" width="13.5714285714286" customWidth="1"/>
    <col min="3" max="7" width="10.8571428571429"/>
  </cols>
  <sheetData>
    <row r="1" spans="2:7">
      <c r="B1" s="1" t="s">
        <v>0</v>
      </c>
      <c r="C1" s="2">
        <v>43006</v>
      </c>
      <c r="D1" s="2">
        <v>43008</v>
      </c>
      <c r="E1" s="3">
        <v>43009</v>
      </c>
      <c r="F1" s="3">
        <v>43010</v>
      </c>
      <c r="G1" s="3">
        <v>43011</v>
      </c>
    </row>
    <row r="2" spans="1:7">
      <c r="A2" s="4" t="s">
        <v>1</v>
      </c>
      <c r="B2" s="5">
        <v>2</v>
      </c>
      <c r="C2" s="5"/>
      <c r="D2" s="5"/>
      <c r="E2" s="5"/>
      <c r="F2" s="5"/>
      <c r="G2" s="5"/>
    </row>
    <row r="3" spans="1:7">
      <c r="A3" s="6" t="s">
        <v>2</v>
      </c>
      <c r="B3" s="7">
        <v>2</v>
      </c>
      <c r="C3" s="7">
        <v>1</v>
      </c>
      <c r="D3" s="7">
        <v>1</v>
      </c>
      <c r="E3" s="7"/>
      <c r="F3" s="7"/>
      <c r="G3" s="7"/>
    </row>
    <row r="4" spans="1:7">
      <c r="A4" s="6" t="s">
        <v>3</v>
      </c>
      <c r="B4" s="7">
        <v>2</v>
      </c>
      <c r="C4" s="7">
        <v>1</v>
      </c>
      <c r="D4" s="7">
        <v>1</v>
      </c>
      <c r="E4" s="7"/>
      <c r="F4" s="7"/>
      <c r="G4" s="7"/>
    </row>
    <row r="5" spans="1:7">
      <c r="A5" s="6" t="s">
        <v>4</v>
      </c>
      <c r="B5" s="7">
        <v>2</v>
      </c>
      <c r="C5" s="7">
        <v>1</v>
      </c>
      <c r="D5" s="7"/>
      <c r="E5" s="7">
        <v>1</v>
      </c>
      <c r="F5" s="7"/>
      <c r="G5" s="7"/>
    </row>
    <row r="6" spans="1:7">
      <c r="A6" s="6" t="s">
        <v>5</v>
      </c>
      <c r="B6" s="7">
        <v>2</v>
      </c>
      <c r="C6" s="7"/>
      <c r="D6" s="7"/>
      <c r="E6" s="7">
        <v>1</v>
      </c>
      <c r="F6" s="7">
        <v>1</v>
      </c>
      <c r="G6" s="7"/>
    </row>
    <row r="7" spans="1:7">
      <c r="A7" s="6" t="s">
        <v>6</v>
      </c>
      <c r="B7" s="7">
        <v>2</v>
      </c>
      <c r="C7" s="7">
        <v>1</v>
      </c>
      <c r="D7" s="7"/>
      <c r="E7" s="7"/>
      <c r="F7" s="7">
        <v>1</v>
      </c>
      <c r="G7" s="7">
        <v>1</v>
      </c>
    </row>
    <row r="8" spans="1:7">
      <c r="A8" s="6" t="s">
        <v>7</v>
      </c>
      <c r="B8" s="7">
        <v>2</v>
      </c>
      <c r="C8" s="7"/>
      <c r="D8" s="7"/>
      <c r="E8" s="7"/>
      <c r="F8" s="7">
        <v>1</v>
      </c>
      <c r="G8" s="7"/>
    </row>
    <row r="9" spans="1:7">
      <c r="A9" s="6" t="s">
        <v>8</v>
      </c>
      <c r="B9" s="7">
        <v>2</v>
      </c>
      <c r="C9" s="7"/>
      <c r="D9" s="7"/>
      <c r="E9" s="7"/>
      <c r="F9" s="7">
        <v>1</v>
      </c>
      <c r="G9" s="7">
        <v>1</v>
      </c>
    </row>
    <row r="10" spans="1:7">
      <c r="A10" s="6" t="s">
        <v>9</v>
      </c>
      <c r="B10" s="7">
        <v>2</v>
      </c>
      <c r="C10" s="7">
        <v>1</v>
      </c>
      <c r="D10" s="7">
        <v>1</v>
      </c>
      <c r="E10" s="7"/>
      <c r="F10" s="7">
        <v>1</v>
      </c>
      <c r="G10" s="7"/>
    </row>
    <row r="11" spans="1:7">
      <c r="A11" s="8" t="s">
        <v>10</v>
      </c>
      <c r="B11" s="9">
        <v>2</v>
      </c>
      <c r="C11" s="9"/>
      <c r="D11" s="9">
        <v>1</v>
      </c>
      <c r="E11" s="9"/>
      <c r="F11" s="9">
        <v>1</v>
      </c>
      <c r="G11" s="9">
        <v>1</v>
      </c>
    </row>
    <row r="12" spans="1:7">
      <c r="A12" s="8" t="s">
        <v>11</v>
      </c>
      <c r="B12" s="9">
        <v>2</v>
      </c>
      <c r="C12" s="9">
        <v>1</v>
      </c>
      <c r="D12" s="9"/>
      <c r="E12" s="9">
        <v>1</v>
      </c>
      <c r="F12" s="9"/>
      <c r="G12" s="9"/>
    </row>
    <row r="13" spans="1:7">
      <c r="A13" s="8" t="s">
        <v>12</v>
      </c>
      <c r="B13" s="9">
        <v>2</v>
      </c>
      <c r="C13" s="9">
        <v>1</v>
      </c>
      <c r="D13" s="9"/>
      <c r="E13" s="9"/>
      <c r="F13" s="9"/>
      <c r="G13" s="9">
        <v>1</v>
      </c>
    </row>
    <row r="14" spans="1:7">
      <c r="A14" s="10" t="s">
        <v>13</v>
      </c>
      <c r="B14" s="11">
        <f>SUM($B$2:$B$13)</f>
        <v>24</v>
      </c>
      <c r="C14" s="11">
        <f>IF(SUM(C2:C13)&gt;0,B14-SUM(C2:C13),"")</f>
        <v>17</v>
      </c>
      <c r="D14" s="11">
        <f>IF(SUM(D2:D13)&gt;0,C14-SUM(D2:D13),"")</f>
        <v>13</v>
      </c>
      <c r="E14" s="11">
        <f>IF(SUM(E2:E13)&gt;0,D14-SUM(E2:E13),"")</f>
        <v>10</v>
      </c>
      <c r="F14" s="11">
        <f>IF(SUM(F2:F13)&gt;0,E14-SUM(F2:F13),"")</f>
        <v>4</v>
      </c>
      <c r="G14" s="11">
        <f>IF(SUM(G2:G13)&gt;0,F14-SUM(G2:G13),"")</f>
        <v>0</v>
      </c>
    </row>
    <row r="15" spans="1:7">
      <c r="A15" s="10" t="s">
        <v>14</v>
      </c>
      <c r="B15" s="11">
        <f>SUM($B$2:$B$13)</f>
        <v>24</v>
      </c>
      <c r="C15" s="11">
        <f>B15-($B$15/COUNTA($C$1:$G$1))</f>
        <v>19.2</v>
      </c>
      <c r="D15" s="11">
        <f>C15-($B$15/COUNTA($C$1:$G$1))</f>
        <v>14.4</v>
      </c>
      <c r="E15" s="11">
        <f>D15-($B$15/COUNTA($C$1:$G$1))</f>
        <v>9.6</v>
      </c>
      <c r="F15" s="11">
        <f>E15-($B$15/COUNTA($C$1:$G$1))</f>
        <v>4.8</v>
      </c>
      <c r="G15" s="11">
        <f>F15-($B$15/COUNTA($C$1:$G$1))</f>
        <v>0</v>
      </c>
    </row>
    <row r="17" spans="4:4">
      <c r="D17">
        <f ca="1">OFFSET($C$14:C14,0,COUNTA(D14:G14),1,1)</f>
        <v>0</v>
      </c>
    </row>
  </sheetData>
  <pageMargins left="0.511805555555556" right="0.511805555555556" top="0.786805555555556" bottom="0.786805555555556" header="0.314583333333333" footer="0.31458333333333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showGridLines="0" showRowColHeaders="0" topLeftCell="A5" workbookViewId="0">
      <selection activeCell="A1" sqref="A1"/>
    </sheetView>
  </sheetViews>
  <sheetFormatPr defaultColWidth="9" defaultRowHeight="15"/>
  <sheetData/>
  <pageMargins left="0.511805555555556" right="0.511805555555556" top="0.786805555555556" bottom="0.786805555555556" header="0.314583333333333" footer="0.314583333333333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showGridLines="0" showRowColHeaders="0" workbookViewId="0">
      <selection activeCell="A1" sqref="A1"/>
    </sheetView>
  </sheetViews>
  <sheetFormatPr defaultColWidth="9" defaultRowHeight="15"/>
  <sheetData/>
  <pageMargins left="0.511805555555556" right="0.511805555555556" top="0.786805555555556" bottom="0.786805555555556" header="0.314583333333333" footer="0.314583333333333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Marcos Rieper</cp:lastModifiedBy>
  <dcterms:created xsi:type="dcterms:W3CDTF">2016-06-19T15:11:00Z</dcterms:created>
  <cp:lastPrinted>2016-06-19T15:56:00Z</cp:lastPrinted>
  <dcterms:modified xsi:type="dcterms:W3CDTF">2017-11-09T22:51:39Z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1046-10.1.0.5656</vt:lpwstr>
  </property>
</Properties>
</file>